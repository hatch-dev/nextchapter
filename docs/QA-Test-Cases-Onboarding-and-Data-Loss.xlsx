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est Cases" sheetId="1" r:id="rId1"/>
    <sheet name="Summary" sheetId="2" r:id="rId2"/>
    <sheet name="How to test" sheetId="3" r:id="rId3"/>
  </sheets>
  <calcPr calcId="0" fullCalcOnLoad="1"/>
</workbook>
</file>

<file path=xl/styles.xml><?xml version="1.0" encoding="utf-8"?>
<styleSheet xmlns="http://schemas.openxmlformats.org/spreadsheetml/2006/main">
  <fonts count="7">
    <font>
      <sz val="11"/>
      <name val="Calibri"/>
    </font>
    <font>
      <b/>
      <sz val="11"/>
      <color rgb="FFFFFFFF"/>
      <name val="Calibri"/>
    </font>
    <font>
      <b/>
      <sz val="10"/>
      <color rgb="FF0E6E78"/>
      <name val="Consolas"/>
    </font>
    <font>
      <b/>
      <sz val="16"/>
      <color rgb="FF14343A"/>
      <name val="Calibri"/>
    </font>
    <font>
      <b/>
      <sz val="12"/>
      <color rgb="FF14343A"/>
      <name val="Calibri"/>
    </font>
    <font>
      <b/>
      <sz val="11"/>
      <name val="Calibri"/>
    </font>
    <font>
      <i/>
      <sz val="10"/>
      <color rgb="FF6C797F"/>
      <name val="Calibri"/>
    </font>
  </fonts>
  <fills count="6">
    <fill>
      <patternFill patternType="none"/>
    </fill>
    <fill>
      <patternFill patternType="gray125"/>
    </fill>
    <fill>
      <patternFill patternType="solid">
        <fgColor rgb="FF14343A"/>
        <bgColor indexed="64"/>
      </patternFill>
    </fill>
    <fill>
      <patternFill patternType="solid">
        <fgColor rgb="FFFFF8E7"/>
        <bgColor indexed="64"/>
      </patternFill>
    </fill>
    <fill>
      <patternFill patternType="solid">
        <fgColor rgb="FFE9F1F2"/>
        <bgColor indexed="64"/>
      </patternFill>
    </fill>
    <fill>
      <patternFill patternType="solid">
        <fgColor rgb="FFFBEDE9"/>
        <bgColor indexed="64"/>
      </patternFill>
    </fill>
  </fills>
  <borders count="2">
    <border>
      <left/>
      <right/>
      <top/>
      <bottom/>
      <diagonal/>
    </border>
    <border>
      <left style="thin">
        <color rgb="FFD3DADC"/>
      </left>
      <right style="thin">
        <color rgb="FFD3DADC"/>
      </right>
      <top style="thin">
        <color rgb="FFD3DADC"/>
      </top>
      <bottom style="thin">
        <color rgb="FFD3DADC"/>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wrapText="1"/>
    </xf>
    <xf numFmtId="0" fontId="0" fillId="0" borderId="1" xfId="0" applyBorder="1" applyAlignment="1">
      <alignment vertical="top" wrapText="1"/>
    </xf>
    <xf numFmtId="0" fontId="2" fillId="0" borderId="1" xfId="0" applyFont="1" applyBorder="1" applyAlignment="1">
      <alignment vertical="top"/>
    </xf>
    <xf numFmtId="0" fontId="0" fillId="3" borderId="1" xfId="0" applyFill="1" applyBorder="1" applyAlignment="1">
      <alignmen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top" wrapText="1"/>
    </xf>
    <xf numFmtId="0" fontId="5" fillId="4" borderId="1" xfId="0" applyFont="1" applyFill="1" applyBorder="1" applyAlignment="1">
      <alignment vertical="top" wrapText="1"/>
    </xf>
    <xf numFmtId="0" fontId="0" fillId="0" borderId="1" xfId="0" applyBorder="1" applyAlignment="1">
      <alignment horizontal="center" vertical="top"/>
    </xf>
    <xf numFmtId="0" fontId="5" fillId="5" borderId="1" xfId="0" applyFont="1" applyFill="1" applyBorder="1" applyAlignment="1">
      <alignment vertical="top" wrapText="1"/>
    </xf>
    <xf numFmtId="0" fontId="6"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dimension ref="A1:L48"/>
  <sheetViews>
    <sheetView tabSelected="1" workbookViewId="0">
      <pane ySplit="1" topLeftCell="A2" activePane="bottomLeft" state="frozen"/>
      <selection pane="bottomLeft" activeCell="A2" sqref="A2"/>
    </sheetView>
  </sheetViews>
  <sheetFormatPr defaultRowHeight="15"/>
  <cols>
    <col min="1" max="1" width="12" customWidth="1"/>
    <col min="2" max="2" width="26" customWidth="1"/>
    <col min="3" max="3" width="12" customWidth="1"/>
    <col min="4" max="4" width="34" customWidth="1"/>
    <col min="5" max="5" width="34" customWidth="1"/>
    <col min="6" max="6" width="52" customWidth="1"/>
    <col min="7" max="7" width="56" customWidth="1"/>
    <col min="8" max="8" width="34" customWidth="1"/>
    <col min="9" max="9" width="12" customWidth="1"/>
    <col min="10" max="10" width="12" customWidth="1"/>
    <col min="11" max="11" width="12" customWidth="1"/>
    <col min="12" max="12" width="24" customWidth="1"/>
  </cols>
  <sheetData>
    <row r="1" ht="30" customHeight="1">
      <c r="A1" s="1" t="inlineStr">
        <is>
          <t xml:space="preserve">Test Case ID</t>
        </is>
      </c>
      <c r="B1" s="1" t="inlineStr">
        <is>
          <t xml:space="preserve">Group</t>
        </is>
      </c>
      <c r="C1" s="1" t="inlineStr">
        <is>
          <t xml:space="preserve">Type</t>
        </is>
      </c>
      <c r="D1" s="1" t="inlineStr">
        <is>
          <t xml:space="preserve">Test Scenario</t>
        </is>
      </c>
      <c r="E1" s="1" t="inlineStr">
        <is>
          <t xml:space="preserve">Preconditions</t>
        </is>
      </c>
      <c r="F1" s="1" t="inlineStr">
        <is>
          <t xml:space="preserve">Test Steps</t>
        </is>
      </c>
      <c r="G1" s="1" t="inlineStr">
        <is>
          <t xml:space="preserve">Expected Result</t>
        </is>
      </c>
      <c r="H1" s="1" t="inlineStr">
        <is>
          <t xml:space="preserve">Actual Result</t>
        </is>
      </c>
      <c r="I1" s="1" t="inlineStr">
        <is>
          <t xml:space="preserve">Pass / Fail</t>
        </is>
      </c>
      <c r="J1" s="1" t="inlineStr">
        <is>
          <t xml:space="preserve">Tested By</t>
        </is>
      </c>
      <c r="K1" s="1" t="inlineStr">
        <is>
          <t xml:space="preserve">Date</t>
        </is>
      </c>
      <c r="L1" s="1" t="inlineStr">
        <is>
          <t xml:space="preserve">Notes / Defect ref</t>
        </is>
      </c>
    </row>
    <row r="2">
      <c r="A2" s="3" t="inlineStr">
        <is>
          <t xml:space="preserve">OB-P-01</t>
        </is>
      </c>
      <c r="B2" s="2" t="inlineStr">
        <is>
          <t xml:space="preserve">A. Onboarding - Positive</t>
        </is>
      </c>
      <c r="C2" s="2" t="inlineStr">
        <is>
          <t xml:space="preserve">Positive</t>
        </is>
      </c>
      <c r="D2" s="2" t="inlineStr">
        <is>
          <t xml:space="preserve">Create a new Enterprise account</t>
        </is>
      </c>
      <c r="E2" s="2" t="inlineStr">
        <is>
          <t xml:space="preserve">App is running and reachable. No account exists with the username you are about to use.</t>
        </is>
      </c>
      <c r="F2" s="2" t="inlineStr">
        <is>
          <t xml:space="preserve">1. Open /apps/signup.
2. Leave the account type set to Enterprise.
3. Enter organization name, your name, a valid email, a username, and a PIN of 4 or more characters.
4. Click "Create &amp; Continue".</t>
        </is>
      </c>
      <c r="G2" s="2" t="inlineStr">
        <is>
          <t xml:space="preserve">The button shows "Creating..." and is disabled while it works. The account and organization are created, the user is signed in, and the browser moves into a program page (not the "Choose a program" list). No program picker is shown for an Enterprise account.</t>
        </is>
      </c>
      <c r="H2" s="4"/>
      <c r="I2" s="4"/>
      <c r="J2" s="4"/>
      <c r="K2" s="4"/>
      <c r="L2" s="4"/>
    </row>
    <row r="3">
      <c r="A3" s="3" t="inlineStr">
        <is>
          <t xml:space="preserve">OB-P-02</t>
        </is>
      </c>
      <c r="B3" s="2" t="inlineStr">
        <is>
          <t xml:space="preserve">A. Onboarding - Positive</t>
        </is>
      </c>
      <c r="C3" s="2" t="inlineStr">
        <is>
          <t xml:space="preserve">Positive</t>
        </is>
      </c>
      <c r="D3" s="2" t="inlineStr">
        <is>
          <t xml:space="preserve">Create a Leader account and choose programs</t>
        </is>
      </c>
      <c r="E3" s="2" t="inlineStr">
        <is>
          <t xml:space="preserve">On /apps/signup with an unused username.</t>
        </is>
      </c>
      <c r="F3" s="2" t="inlineStr">
        <is>
          <t xml:space="preserve">1. Select the Leader account type.
2. Check that a list of Leader programs appears.
3. Tick one or more available programs.
4. Fill in the remaining fields and submit.</t>
        </is>
      </c>
      <c r="G3" s="2" t="inlineStr">
        <is>
          <t xml:space="preserve">Account is created with exactly the programs ticked. After sign-up, only those programs are open to the account; anything not ticked is not reachable.</t>
        </is>
      </c>
      <c r="H3" s="4"/>
      <c r="I3" s="4"/>
      <c r="J3" s="4"/>
      <c r="K3" s="4"/>
      <c r="L3" s="4"/>
    </row>
    <row r="4">
      <c r="A4" s="3" t="inlineStr">
        <is>
          <t xml:space="preserve">OB-P-03</t>
        </is>
      </c>
      <c r="B4" s="2" t="inlineStr">
        <is>
          <t xml:space="preserve">A. Onboarding - Positive</t>
        </is>
      </c>
      <c r="C4" s="2" t="inlineStr">
        <is>
          <t xml:space="preserve">Positive</t>
        </is>
      </c>
      <c r="D4" s="2" t="inlineStr">
        <is>
          <t xml:space="preserve">A new account lands inside a program with Profile open</t>
        </is>
      </c>
      <c r="E4" s="2" t="inlineStr">
        <is>
          <t xml:space="preserve">Sign-up has just been completed (OB-P-01 or OB-P-02).</t>
        </is>
      </c>
      <c r="F4" s="2" t="inlineStr">
        <is>
          <t xml:space="preserve">1. Watch where the browser goes after the account is created.
2. Look at the address bar and at the panel on screen.</t>
        </is>
      </c>
      <c r="G4" s="2" t="inlineStr">
        <is>
          <t xml:space="preserve">The address is a program address (/apps/{role}/{program}), the program Home is behind, and the ordinary Profile panel is open on top. There is no separate set-up wizard and nothing must be completed before the app can be used.</t>
        </is>
      </c>
      <c r="H4" s="4"/>
      <c r="I4" s="4"/>
      <c r="J4" s="4"/>
      <c r="K4" s="4"/>
      <c r="L4" s="4"/>
    </row>
    <row r="5">
      <c r="A5" s="3" t="inlineStr">
        <is>
          <t xml:space="preserve">OB-P-04</t>
        </is>
      </c>
      <c r="B5" s="2" t="inlineStr">
        <is>
          <t xml:space="preserve">A. Onboarding - Positive</t>
        </is>
      </c>
      <c r="C5" s="2" t="inlineStr">
        <is>
          <t xml:space="preserve">Positive</t>
        </is>
      </c>
      <c r="D5" s="2" t="inlineStr">
        <is>
          <t xml:space="preserve">Profile closes onto the program, and a refresh does not reopen it</t>
        </is>
      </c>
      <c r="E5" s="2" t="inlineStr">
        <is>
          <t xml:space="preserve">Just landed after sign-up with Profile open.</t>
        </is>
      </c>
      <c r="F5" s="2" t="inlineStr">
        <is>
          <t xml:space="preserve">1. Fill in a couple of profile details and click Done.
2. Refresh the page (F5).
3. Open the More menu and choose Profile.</t>
        </is>
      </c>
      <c r="G5" s="2" t="inlineStr">
        <is>
          <t xml:space="preserve">Done closes the panel onto the working program. The refresh does NOT reopen Profile and the details entered are still there. The More menu opens the same single Profile panel.</t>
        </is>
      </c>
      <c r="H5" s="4"/>
      <c r="I5" s="4"/>
      <c r="J5" s="4"/>
      <c r="K5" s="4"/>
      <c r="L5" s="4"/>
    </row>
    <row r="6">
      <c r="A6" s="3" t="inlineStr">
        <is>
          <t xml:space="preserve">OB-P-05</t>
        </is>
      </c>
      <c r="B6" s="2" t="inlineStr">
        <is>
          <t xml:space="preserve">A. Onboarding - Positive</t>
        </is>
      </c>
      <c r="C6" s="2" t="inlineStr">
        <is>
          <t xml:space="preserve">Positive</t>
        </is>
      </c>
      <c r="D6" s="2" t="inlineStr">
        <is>
          <t xml:space="preserve">Sign in with organization, username and PIN</t>
        </is>
      </c>
      <c r="E6" s="2" t="inlineStr">
        <is>
          <t xml:space="preserve">Ann’s account exists. You are signed out, on /apps/login.</t>
        </is>
      </c>
      <c r="F6" s="2" t="inlineStr">
        <is>
          <t xml:space="preserve">1. Enter the organization name, Ann’s username and her PIN.
2. Click Sign In.</t>
        </is>
      </c>
      <c r="G6" s="2" t="inlineStr">
        <is>
          <t xml:space="preserve">Signed in within a couple of seconds and taken into a program - the one last opened if there is one, otherwise one of the account’s own programs. The name shown in the top bar is Ann’s.</t>
        </is>
      </c>
      <c r="H6" s="4"/>
      <c r="I6" s="4"/>
      <c r="J6" s="4"/>
      <c r="K6" s="4"/>
      <c r="L6" s="4"/>
    </row>
    <row r="7">
      <c r="A7" s="3" t="inlineStr">
        <is>
          <t xml:space="preserve">OB-P-06</t>
        </is>
      </c>
      <c r="B7" s="2" t="inlineStr">
        <is>
          <t xml:space="preserve">A. Onboarding - Positive</t>
        </is>
      </c>
      <c r="C7" s="2" t="inlineStr">
        <is>
          <t xml:space="preserve">Positive</t>
        </is>
      </c>
      <c r="D7" s="2" t="inlineStr">
        <is>
          <t xml:space="preserve">"Remember me" is honoured - and only when ticked</t>
        </is>
      </c>
      <c r="E7" s="2" t="inlineStr">
        <is>
          <t xml:space="preserve">Signed out. Ann’s credentials to hand.</t>
        </is>
      </c>
      <c r="F7" s="2" t="inlineStr">
        <is>
          <t xml:space="preserve">1. Sign in with "Remember me" ticked. Close the browser completely and reopen /apps.
2. Sign out. Sign in again with "Remember me" unticked. Close the browser completely and reopen /apps.</t>
        </is>
      </c>
      <c r="G7" s="2" t="inlineStr">
        <is>
          <t xml:space="preserve">Step 1: the sign-in screen offers "Continue as Ann". Step 2: no such offer - the plain sign-in form is shown.</t>
        </is>
      </c>
      <c r="H7" s="4"/>
      <c r="I7" s="4"/>
      <c r="J7" s="4"/>
      <c r="K7" s="4"/>
      <c r="L7" s="4"/>
    </row>
    <row r="8">
      <c r="A8" s="3" t="inlineStr">
        <is>
          <t xml:space="preserve">OB-P-07</t>
        </is>
      </c>
      <c r="B8" s="2" t="inlineStr">
        <is>
          <t xml:space="preserve">A. Onboarding - Positive</t>
        </is>
      </c>
      <c r="C8" s="2" t="inlineStr">
        <is>
          <t xml:space="preserve">Positive</t>
        </is>
      </c>
      <c r="D8" s="2" t="inlineStr">
        <is>
          <t xml:space="preserve">Org admin adds a member and the invite is sent</t>
        </is>
      </c>
      <c r="E8" s="2" t="inlineStr">
        <is>
          <t xml:space="preserve">Signed in as Ann (org admin). Profile / team panel open.</t>
        </is>
      </c>
      <c r="F8" s="2" t="inlineStr">
        <is>
          <t xml:space="preserve">1. Add a new member: name, email, username, PIN, department.
2. Choose which programs the member may open.
3. Save, and read the message shown.</t>
        </is>
      </c>
      <c r="G8" s="2" t="inlineStr">
        <is>
          <t xml:space="preserve">The member is added and appears in the team list. The app reports the real invite status - sent, or queued/pending if email is not configured. Adding a member never fails just because email is unavailable, and never silently claims success.</t>
        </is>
      </c>
      <c r="H8" s="4"/>
      <c r="I8" s="4"/>
      <c r="J8" s="4"/>
      <c r="K8" s="4"/>
      <c r="L8" s="4"/>
    </row>
    <row r="9">
      <c r="A9" s="3" t="inlineStr">
        <is>
          <t xml:space="preserve">OB-P-08</t>
        </is>
      </c>
      <c r="B9" s="2" t="inlineStr">
        <is>
          <t xml:space="preserve">A. Onboarding - Positive</t>
        </is>
      </c>
      <c r="C9" s="2" t="inlineStr">
        <is>
          <t xml:space="preserve">Positive</t>
        </is>
      </c>
      <c r="D9" s="2" t="inlineStr">
        <is>
          <t xml:space="preserve">Invited member signs in on their own device</t>
        </is>
      </c>
      <c r="E9" s="2" t="inlineStr">
        <is>
          <t xml:space="preserve">Ben has been added by Ann (OB-P-07). Use a browser that has never been used for this app.</t>
        </is>
      </c>
      <c r="F9" s="2" t="inlineStr">
        <is>
          <t xml:space="preserve">1. Open /apps/login in the fresh browser.
2. Sign in as Ben with the organization name and his credentials.
3. Check the name in the top bar and open the team list.</t>
        </is>
      </c>
      <c r="G9" s="2" t="inlineStr">
        <is>
          <t xml:space="preserve">Ben is signed in AS BEN, sees the organization’s workspace, and has member rights only. He must not be signed in as Ann or as the owner, and must not see admin-only buttons (add/delete member, edit org details).</t>
        </is>
      </c>
      <c r="H9" s="4"/>
      <c r="I9" s="4"/>
      <c r="J9" s="4"/>
      <c r="K9" s="4"/>
      <c r="L9" s="4"/>
    </row>
    <row r="10">
      <c r="A10" s="3" t="inlineStr">
        <is>
          <t xml:space="preserve">OB-N-01</t>
        </is>
      </c>
      <c r="B10" s="2" t="inlineStr">
        <is>
          <t xml:space="preserve">B. Onboarding - Negative</t>
        </is>
      </c>
      <c r="C10" s="2" t="inlineStr">
        <is>
          <t xml:space="preserve">Negative</t>
        </is>
      </c>
      <c r="D10" s="2" t="inlineStr">
        <is>
          <t xml:space="preserve">Submit an empty sign-up form</t>
        </is>
      </c>
      <c r="E10" s="2" t="inlineStr">
        <is>
          <t xml:space="preserve">On /apps/signup, all fields empty.</t>
        </is>
      </c>
      <c r="F10" s="2" t="inlineStr">
        <is>
          <t xml:space="preserve">1. Click "Create &amp; Continue" without typing anything.</t>
        </is>
      </c>
      <c r="G10" s="2" t="inlineStr">
        <is>
          <t xml:space="preserve">A message under every required field (organization, name, email, username, PIN). The first errored field gets focus. No account is created and no page change happens.</t>
        </is>
      </c>
      <c r="H10" s="4"/>
      <c r="I10" s="4"/>
      <c r="J10" s="4"/>
      <c r="K10" s="4"/>
      <c r="L10" s="4"/>
    </row>
    <row r="11">
      <c r="A11" s="3" t="inlineStr">
        <is>
          <t xml:space="preserve">OB-N-02</t>
        </is>
      </c>
      <c r="B11" s="2" t="inlineStr">
        <is>
          <t xml:space="preserve">B. Onboarding - Negative</t>
        </is>
      </c>
      <c r="C11" s="2" t="inlineStr">
        <is>
          <t xml:space="preserve">Negative</t>
        </is>
      </c>
      <c r="D11" s="2" t="inlineStr">
        <is>
          <t xml:space="preserve">Invalid email is rejected and typing is not lost</t>
        </is>
      </c>
      <c r="E11" s="2" t="inlineStr">
        <is>
          <t xml:space="preserve">On /apps/signup.</t>
        </is>
      </c>
      <c r="F11" s="2" t="inlineStr">
        <is>
          <t xml:space="preserve">1. Fill every field correctly, but set the email to "ann@".
2. Submit. Then try "ann example.com" and "@example.com".
3. Start correcting the email field.</t>
        </is>
      </c>
      <c r="G11" s="2" t="inlineStr">
        <is>
          <t xml:space="preserve">Each attempt shows "Enter a valid email address." on the email field only. Everything else already typed is still on screen. The message clears as soon as the user starts typing in that field.</t>
        </is>
      </c>
      <c r="H11" s="4"/>
      <c r="I11" s="4"/>
      <c r="J11" s="4"/>
      <c r="K11" s="4"/>
      <c r="L11" s="4"/>
    </row>
    <row r="12">
      <c r="A12" s="3" t="inlineStr">
        <is>
          <t xml:space="preserve">OB-N-03</t>
        </is>
      </c>
      <c r="B12" s="2" t="inlineStr">
        <is>
          <t xml:space="preserve">B. Onboarding - Negative</t>
        </is>
      </c>
      <c r="C12" s="2" t="inlineStr">
        <is>
          <t xml:space="preserve">Negative</t>
        </is>
      </c>
      <c r="D12" s="2" t="inlineStr">
        <is>
          <t xml:space="preserve">Username and PIN rules are enforced</t>
        </is>
      </c>
      <c r="E12" s="2" t="inlineStr">
        <is>
          <t xml:space="preserve">On /apps/signup with all other fields valid.</t>
        </is>
      </c>
      <c r="F12" s="2" t="inlineStr">
        <is>
          <t xml:space="preserve">1. Enter the username "ann smith" (with a space) and submit.
2. Try "ann@smith" and "ann#1".
3. Set a valid username, then enter a 3-character PIN and submit.</t>
        </is>
      </c>
      <c r="G12" s="2" t="inlineStr">
        <is>
          <t xml:space="preserve">Usernames with anything other than letters, numbers, dots, dashes or underscores are refused with a message on the username field. A PIN under 4 characters is refused with "PIN must be at least 4 characters." Nothing is created in either case.</t>
        </is>
      </c>
      <c r="H12" s="4"/>
      <c r="I12" s="4"/>
      <c r="J12" s="4"/>
      <c r="K12" s="4"/>
      <c r="L12" s="4"/>
    </row>
    <row r="13">
      <c r="A13" s="3" t="inlineStr">
        <is>
          <t xml:space="preserve">OB-N-04</t>
        </is>
      </c>
      <c r="B13" s="2" t="inlineStr">
        <is>
          <t xml:space="preserve">B. Onboarding - Negative</t>
        </is>
      </c>
      <c r="C13" s="2" t="inlineStr">
        <is>
          <t xml:space="preserve">Negative</t>
        </is>
      </c>
      <c r="D13" s="2" t="inlineStr">
        <is>
          <t xml:space="preserve">Leader sign-up with no program chosen</t>
        </is>
      </c>
      <c r="E13" s="2" t="inlineStr">
        <is>
          <t xml:space="preserve">On /apps/signup, account type set to Leader.</t>
        </is>
      </c>
      <c r="F13" s="2" t="inlineStr">
        <is>
          <t xml:space="preserve">1. Fill every field correctly but tick no programs.
2. Submit.
3. Tick a program.</t>
        </is>
      </c>
      <c r="G13" s="2" t="inlineStr">
        <is>
          <t xml:space="preserve">"Choose at least one program to get started." is shown against the program list and no account is created. The message disappears the moment a program is ticked.</t>
        </is>
      </c>
      <c r="H13" s="4"/>
      <c r="I13" s="4"/>
      <c r="J13" s="4"/>
      <c r="K13" s="4"/>
      <c r="L13" s="4"/>
    </row>
    <row r="14">
      <c r="A14" s="3" t="inlineStr">
        <is>
          <t xml:space="preserve">OB-N-05</t>
        </is>
      </c>
      <c r="B14" s="2" t="inlineStr">
        <is>
          <t xml:space="preserve">B. Onboarding - Negative</t>
        </is>
      </c>
      <c r="C14" s="2" t="inlineStr">
        <is>
          <t xml:space="preserve">Negative</t>
        </is>
      </c>
      <c r="D14" s="2" t="inlineStr">
        <is>
          <t xml:space="preserve">Username already taken</t>
        </is>
      </c>
      <c r="E14" s="2" t="inlineStr">
        <is>
          <t xml:space="preserve">Ann’s account already exists.</t>
        </is>
      </c>
      <c r="F14" s="2" t="inlineStr">
        <is>
          <t xml:space="preserve">1. Start a new sign-up using Ann’s exact username.
2. Submit and read the screen.</t>
        </is>
      </c>
      <c r="G14" s="2" t="inlineStr">
        <is>
          <t xml:space="preserve">The server refuses it and the reason is shown ON THE USERNAME FIELD, in plain words. No second account or organization is created. Everything else typed is preserved so only the username has to be changed.</t>
        </is>
      </c>
      <c r="H14" s="4"/>
      <c r="I14" s="4"/>
      <c r="J14" s="4"/>
      <c r="K14" s="4"/>
      <c r="L14" s="4"/>
    </row>
    <row r="15">
      <c r="A15" s="3" t="inlineStr">
        <is>
          <t xml:space="preserve">OB-N-06</t>
        </is>
      </c>
      <c r="B15" s="2" t="inlineStr">
        <is>
          <t xml:space="preserve">B. Onboarding - Negative</t>
        </is>
      </c>
      <c r="C15" s="2" t="inlineStr">
        <is>
          <t xml:space="preserve">Negative</t>
        </is>
      </c>
      <c r="D15" s="2" t="inlineStr">
        <is>
          <t xml:space="preserve">Each sign-in failure points at the field that can fix it</t>
        </is>
      </c>
      <c r="E15" s="2" t="inlineStr">
        <is>
          <t xml:space="preserve">On /apps/login. Ann’s account exists.</t>
        </is>
      </c>
      <c r="F15" s="2" t="inlineStr">
        <is>
          <t xml:space="preserve">1. Enter an organization that does not exist, plus any username and PIN. Submit.
2. Enter the right organization, a username nobody has, any PIN. Submit.
3. Enter the right organization and Ann’s username with the wrong PIN. Submit.</t>
        </is>
      </c>
      <c r="G15" s="2" t="inlineStr">
        <is>
          <t xml:space="preserve">Step 1: message on the ORGANIZATION field ("We couldn’t find that organization..."). Step 2: message on the USERNAME field. Step 3: "Incorrect PIN. Try again." on the PIN field. No sign-in in any case. A wrong organization must never be reported as a wrong PIN.</t>
        </is>
      </c>
      <c r="H15" s="4"/>
      <c r="I15" s="4"/>
      <c r="J15" s="4"/>
      <c r="K15" s="4"/>
      <c r="L15" s="4"/>
    </row>
    <row r="16">
      <c r="A16" s="3" t="inlineStr">
        <is>
          <t xml:space="preserve">OB-N-07</t>
        </is>
      </c>
      <c r="B16" s="2" t="inlineStr">
        <is>
          <t xml:space="preserve">B. Onboarding - Negative</t>
        </is>
      </c>
      <c r="C16" s="2" t="inlineStr">
        <is>
          <t xml:space="preserve">Negative</t>
        </is>
      </c>
      <c r="D16" s="2" t="inlineStr">
        <is>
          <t xml:space="preserve">Server unreachable during sign-up or sign-in</t>
        </is>
      </c>
      <c r="E16" s="2" t="inlineStr">
        <is>
          <t xml:space="preserve">Sign-up form filled in correctly. Ability to stop the server or switch the network off (dev tools &gt; Offline).</t>
        </is>
      </c>
      <c r="F16" s="2" t="inlineStr">
        <is>
          <t xml:space="preserve">1. Go offline, then submit the sign-up form.
2. Go back online and submit again.
3. Repeat both steps on the sign-in form.</t>
        </is>
      </c>
      <c r="G16" s="2" t="inlineStr">
        <is>
          <t xml:space="preserve">A clear message such as "Could not reach the setup service. Is the server running?" (or the sign-in equivalent). The button returns to normal, everything typed is still there, and the retry succeeds. No half-created account.</t>
        </is>
      </c>
      <c r="H16" s="4"/>
      <c r="I16" s="4"/>
      <c r="J16" s="4"/>
      <c r="K16" s="4"/>
      <c r="L16" s="4"/>
    </row>
    <row r="17">
      <c r="A17" s="3" t="inlineStr">
        <is>
          <t xml:space="preserve">OB-E-01</t>
        </is>
      </c>
      <c r="B17" s="2" t="inlineStr">
        <is>
          <t xml:space="preserve">C. Onboarding - Edge</t>
        </is>
      </c>
      <c r="C17" s="2" t="inlineStr">
        <is>
          <t xml:space="preserve">Edge case</t>
        </is>
      </c>
      <c r="D17" s="2" t="inlineStr">
        <is>
          <t xml:space="preserve">Double-click on Create makes only one account</t>
        </is>
      </c>
      <c r="E17" s="2" t="inlineStr">
        <is>
          <t xml:space="preserve">Sign-up form filled in correctly. Optionally throttle the network to make the wait longer.</t>
        </is>
      </c>
      <c r="F17" s="2" t="inlineStr">
        <is>
          <t xml:space="preserve">1. Double-click "Create &amp; Continue" quickly, then press Enter as well.
2. Sign in to the Super Admin console and list the organizations.</t>
        </is>
      </c>
      <c r="G17" s="2" t="inlineStr">
        <is>
          <t xml:space="preserve">The button is disabled and shows "Creating..." after the first click, so later clicks do nothing. Exactly ONE organization and one owner exist.</t>
        </is>
      </c>
      <c r="H17" s="4"/>
      <c r="I17" s="4"/>
      <c r="J17" s="4"/>
      <c r="K17" s="4"/>
      <c r="L17" s="4"/>
    </row>
    <row r="18">
      <c r="A18" s="3" t="inlineStr">
        <is>
          <t xml:space="preserve">OB-E-02</t>
        </is>
      </c>
      <c r="B18" s="2" t="inlineStr">
        <is>
          <t xml:space="preserve">C. Onboarding - Edge</t>
        </is>
      </c>
      <c r="C18" s="2" t="inlineStr">
        <is>
          <t xml:space="preserve">Edge case</t>
        </is>
      </c>
      <c r="D18" s="2" t="inlineStr">
        <is>
          <t xml:space="preserve">Field limits and stray spaces</t>
        </is>
      </c>
      <c r="E18" s="2" t="inlineStr">
        <is>
          <t xml:space="preserve">On /apps/signup.</t>
        </is>
      </c>
      <c r="F18" s="2" t="inlineStr">
        <is>
          <t xml:space="preserve">1. Enter an email of exactly 150 characters. Submit.
2. Enter an email of 151 characters. Submit.
3. Enter an organization name and username with a space at the start and end. Submit.</t>
        </is>
      </c>
      <c r="G18" s="2" t="inlineStr">
        <is>
          <t xml:space="preserve">150 characters is accepted; 151 is refused with "Email must be 150 characters or fewer." Leading and trailing spaces are trimmed, so the stored name has no stray spaces and the same name signs in later without them.</t>
        </is>
      </c>
      <c r="H18" s="4"/>
      <c r="I18" s="4"/>
      <c r="J18" s="4"/>
      <c r="K18" s="4"/>
      <c r="L18" s="4"/>
    </row>
    <row r="19">
      <c r="A19" s="3" t="inlineStr">
        <is>
          <t xml:space="preserve">OB-E-03</t>
        </is>
      </c>
      <c r="B19" s="2" t="inlineStr">
        <is>
          <t xml:space="preserve">C. Onboarding - Edge</t>
        </is>
      </c>
      <c r="C19" s="2" t="inlineStr">
        <is>
          <t xml:space="preserve">Edge case</t>
        </is>
      </c>
      <c r="D19" s="2" t="inlineStr">
        <is>
          <t xml:space="preserve">Programs still in development cannot be signed up for</t>
        </is>
      </c>
      <c r="E19" s="2" t="inlineStr">
        <is>
          <t xml:space="preserve">At least one program in the catalogue is not yet live. On /apps/signup as a Leader.</t>
        </is>
      </c>
      <c r="F19" s="2" t="inlineStr">
        <is>
          <t xml:space="preserve">1. Look at the program list.
2. Try to tick a program marked "in development".</t>
        </is>
      </c>
      <c r="G19" s="2" t="inlineStr">
        <is>
          <t xml:space="preserve">The program is visible but greyed out, labelled "in development", and cannot be ticked. It can never end up as the only program on the account.</t>
        </is>
      </c>
      <c r="H19" s="4"/>
      <c r="I19" s="4"/>
      <c r="J19" s="4"/>
      <c r="K19" s="4"/>
      <c r="L19" s="4"/>
    </row>
    <row r="20">
      <c r="A20" s="3" t="inlineStr">
        <is>
          <t xml:space="preserve">OB-E-04</t>
        </is>
      </c>
      <c r="B20" s="2" t="inlineStr">
        <is>
          <t xml:space="preserve">C. Onboarding - Edge</t>
        </is>
      </c>
      <c r="C20" s="2" t="inlineStr">
        <is>
          <t xml:space="preserve">Edge case</t>
        </is>
      </c>
      <c r="D20" s="2" t="inlineStr">
        <is>
          <t xml:space="preserve">Switching account type keeps what has been typed</t>
        </is>
      </c>
      <c r="E20" s="2" t="inlineStr">
        <is>
          <t xml:space="preserve">On /apps/signup.</t>
        </is>
      </c>
      <c r="F20" s="2" t="inlineStr">
        <is>
          <t xml:space="preserve">1. Fill in all the text fields.
2. Switch from Enterprise to Leader, then back, then to Leader again.
3. Tick a program, switch to Enterprise, switch back to Leader.</t>
        </is>
      </c>
      <c r="G20" s="2" t="inlineStr">
        <is>
          <t xml:space="preserve">Every typed value survives each switch. The program list appears only for Leader. The previously ticked program is still ticked when Leader is chosen again. Submitting as Enterprise sends no programs.</t>
        </is>
      </c>
      <c r="H20" s="4"/>
      <c r="I20" s="4"/>
      <c r="J20" s="4"/>
      <c r="K20" s="4"/>
      <c r="L20" s="4"/>
    </row>
    <row r="21">
      <c r="A21" s="3" t="inlineStr">
        <is>
          <t xml:space="preserve">OB-E-05</t>
        </is>
      </c>
      <c r="B21" s="2" t="inlineStr">
        <is>
          <t xml:space="preserve">C. Onboarding - Edge</t>
        </is>
      </c>
      <c r="C21" s="2" t="inlineStr">
        <is>
          <t xml:space="preserve">Edge case</t>
        </is>
      </c>
      <c r="D21" s="2" t="inlineStr">
        <is>
          <t xml:space="preserve">Refresh, Back and direct links on the entry screens</t>
        </is>
      </c>
      <c r="E21" s="2" t="inlineStr">
        <is>
          <t xml:space="preserve">Signed out.</t>
        </is>
      </c>
      <c r="F21" s="2" t="inlineStr">
        <is>
          <t xml:space="preserve">1. Open /apps/login, click through to sign-up, then press browser Back.
2. Refresh /apps/signup directly.
3. Paste /apps/admin into the address bar.</t>
        </is>
      </c>
      <c r="G21" s="2" t="inlineStr">
        <is>
          <t xml:space="preserve">Each entry screen has its own address and can be refreshed, bookmarked and shared. Back returns to the sign-in screen rather than an empty page. Nothing crashes and no half-rendered screen appears.</t>
        </is>
      </c>
      <c r="H21" s="4"/>
      <c r="I21" s="4"/>
      <c r="J21" s="4"/>
      <c r="K21" s="4"/>
      <c r="L21" s="4"/>
    </row>
    <row r="22">
      <c r="A22" s="3" t="inlineStr">
        <is>
          <t xml:space="preserve">OB-E-06</t>
        </is>
      </c>
      <c r="B22" s="2" t="inlineStr">
        <is>
          <t xml:space="preserve">C. Onboarding - Edge</t>
        </is>
      </c>
      <c r="C22" s="2" t="inlineStr">
        <is>
          <t xml:space="preserve">Edge case</t>
        </is>
      </c>
      <c r="D22" s="2" t="inlineStr">
        <is>
          <t xml:space="preserve">Slow network at the moment of hand-off</t>
        </is>
      </c>
      <c r="E22" s="2" t="inlineStr">
        <is>
          <t xml:space="preserve">Dev tools open, network throttled to "Slow 3G". Sign-up form filled in.</t>
        </is>
      </c>
      <c r="F22" s="2" t="inlineStr">
        <is>
          <t xml:space="preserve">1. Submit the form and wait.
2. Once inside the program, type something into the first field you see.
3. Wait 10 seconds, then refresh.</t>
        </is>
      </c>
      <c r="G22" s="2" t="inlineStr">
        <is>
          <t xml:space="preserve">The user is never stranded on the sign-up screen - the move into the program happens once saving finishes, or within about 1.5 seconds at the latest. The organization’s first save is not lost, and what was typed in step 2 is still there after the refresh.</t>
        </is>
      </c>
      <c r="H22" s="4"/>
      <c r="I22" s="4"/>
      <c r="J22" s="4"/>
      <c r="K22" s="4"/>
      <c r="L22" s="4"/>
    </row>
    <row r="23">
      <c r="A23" s="3" t="inlineStr">
        <is>
          <t xml:space="preserve">OB-M-01</t>
        </is>
      </c>
      <c r="B23" s="2" t="inlineStr">
        <is>
          <t xml:space="preserve">D. Onboarding - Multi-user</t>
        </is>
      </c>
      <c r="C23" s="2" t="inlineStr">
        <is>
          <t xml:space="preserve">Multi-user</t>
        </is>
      </c>
      <c r="D23" s="2" t="inlineStr">
        <is>
          <t xml:space="preserve">Two people claim the same username at once</t>
        </is>
      </c>
      <c r="E23" s="2" t="inlineStr">
        <is>
          <t xml:space="preserve">Two browsers, both on /apps/signup, both filled in with the SAME username and different organizations.</t>
        </is>
      </c>
      <c r="F23" s="2" t="inlineStr">
        <is>
          <t xml:space="preserve">1. Submit both forms within a second of each other.
2. Check both screens.
3. Check the Super Admin console for what was created.</t>
        </is>
      </c>
      <c r="G23" s="2" t="inlineStr">
        <is>
          <t xml:space="preserve">One sign-up succeeds. The other shows a clear message on the username field and keeps everything else typed. Exactly one account holds that username - no duplicate and no broken half-record.</t>
        </is>
      </c>
      <c r="H23" s="4"/>
      <c r="I23" s="4"/>
      <c r="J23" s="4"/>
      <c r="K23" s="4"/>
      <c r="L23" s="4"/>
    </row>
    <row r="24">
      <c r="A24" s="3" t="inlineStr">
        <is>
          <t xml:space="preserve">OB-M-02</t>
        </is>
      </c>
      <c r="B24" s="2" t="inlineStr">
        <is>
          <t xml:space="preserve">D. Onboarding - Multi-user</t>
        </is>
      </c>
      <c r="C24" s="2" t="inlineStr">
        <is>
          <t xml:space="preserve">Multi-user</t>
        </is>
      </c>
      <c r="D24" s="2" t="inlineStr">
        <is>
          <t xml:space="preserve">Two organizations share a name</t>
        </is>
      </c>
      <c r="E24" s="2" t="inlineStr">
        <is>
          <t xml:space="preserve">Two organizations exist with the same name (create one if needed).</t>
        </is>
      </c>
      <c r="F24" s="2" t="inlineStr">
        <is>
          <t xml:space="preserve">1. On /apps/login, enter that shared name plus a valid username and PIN.
2. Submit.
3. Retry using the organization code from the invitation email.</t>
        </is>
      </c>
      <c r="G24" s="2" t="inlineStr">
        <is>
          <t xml:space="preserve">The first attempt is refused with a message on the organization field asking for the code from the invitation email. The retry with the code signs the user into the correct organization - never the wrong one.</t>
        </is>
      </c>
      <c r="H24" s="4"/>
      <c r="I24" s="4"/>
      <c r="J24" s="4"/>
      <c r="K24" s="4"/>
      <c r="L24" s="4"/>
    </row>
    <row r="25">
      <c r="A25" s="3" t="inlineStr">
        <is>
          <t xml:space="preserve">OB-M-03</t>
        </is>
      </c>
      <c r="B25" s="2" t="inlineStr">
        <is>
          <t xml:space="preserve">D. Onboarding - Multi-user</t>
        </is>
      </c>
      <c r="C25" s="2" t="inlineStr">
        <is>
          <t xml:space="preserve">Multi-user</t>
        </is>
      </c>
      <c r="D25" s="2" t="inlineStr">
        <is>
          <t xml:space="preserve">A member signing in after an admin used the same browser</t>
        </is>
      </c>
      <c r="E25" s="2" t="inlineStr">
        <is>
          <t xml:space="preserve">One browser. Super Admin passcode available.</t>
        </is>
      </c>
      <c r="F25" s="2" t="inlineStr">
        <is>
          <t xml:space="preserve">1. Sign in through /apps/admin with the admin passcode and open the console.
2. Sign out, then sign in as Ben (an ordinary member) in the same browser.
3. Look for the admin bar, the console entry in the menu, and the add/delete member buttons.</t>
        </is>
      </c>
      <c r="G25" s="2" t="inlineStr">
        <is>
          <t xml:space="preserve">Ben has member rights only. No admin bar, no console, no add/delete/edit-organization controls. The earlier admin session does not carry over.</t>
        </is>
      </c>
      <c r="H25" s="4"/>
      <c r="I25" s="4"/>
      <c r="J25" s="4"/>
      <c r="K25" s="4"/>
      <c r="L25" s="4"/>
    </row>
    <row r="26">
      <c r="A26" s="3" t="inlineStr">
        <is>
          <t xml:space="preserve">OB-M-04</t>
        </is>
      </c>
      <c r="B26" s="2" t="inlineStr">
        <is>
          <t xml:space="preserve">D. Onboarding - Multi-user</t>
        </is>
      </c>
      <c r="C26" s="2" t="inlineStr">
        <is>
          <t xml:space="preserve">Multi-user</t>
        </is>
      </c>
      <c r="D26" s="2" t="inlineStr">
        <is>
          <t xml:space="preserve">Access is removed while the member is signed in</t>
        </is>
      </c>
      <c r="E26" s="2" t="inlineStr">
        <is>
          <t xml:space="preserve">Ben signed in and working in a program in browser 2. Ann signed in as admin in browser 1.</t>
        </is>
      </c>
      <c r="F26" s="2" t="inlineStr">
        <is>
          <t xml:space="preserve">1. Ann removes Ben’s access to that program (or the Super Admin removes it from the organization’s plan).
2. Ben continues working, then saves and reloads.
3. Ben types the program address directly into the browser.</t>
        </is>
      </c>
      <c r="G26" s="2" t="inlineStr">
        <is>
          <t xml:space="preserve">Ben is taken to the programs list rather than left on a screen where nothing works. The refusal is explained, not silent, and Ben cannot get back in by typing the address. No error page or blank screen.</t>
        </is>
      </c>
      <c r="H26" s="4"/>
      <c r="I26" s="4"/>
      <c r="J26" s="4"/>
      <c r="K26" s="4"/>
      <c r="L26" s="4"/>
    </row>
    <row r="27">
      <c r="A27" s="3" t="inlineStr">
        <is>
          <t xml:space="preserve">DL-P-01</t>
        </is>
      </c>
      <c r="B27" s="2" t="inlineStr">
        <is>
          <t xml:space="preserve">E. Concurrent editing - Positive</t>
        </is>
      </c>
      <c r="C27" s="2" t="inlineStr">
        <is>
          <t xml:space="preserve">Positive</t>
        </is>
      </c>
      <c r="D27" s="2" t="inlineStr">
        <is>
          <t xml:space="preserve">Two members edit different sections at the same time</t>
        </is>
      </c>
      <c r="E27" s="2" t="inlineStr">
        <is>
          <t xml:space="preserve">Two-user set-up. Ann and Ben both have the same program open.</t>
        </is>
      </c>
      <c r="F27" s="2" t="inlineStr">
        <is>
          <t xml:space="preserve">1. Ann edits a field in one section (for example an idea’s description).
2. At the same time, Ben edits a field in a different section (for example a budget line).
3. Both wait 10 seconds, then both reload.</t>
        </is>
      </c>
      <c r="G27" s="2" t="inlineStr">
        <is>
          <t xml:space="preserve">Both changes are saved and both are visible to both people after reload. Neither person sees an error, a warning or a lost value.</t>
        </is>
      </c>
      <c r="H27" s="4"/>
      <c r="I27" s="4"/>
      <c r="J27" s="4"/>
      <c r="K27" s="4"/>
      <c r="L27" s="4"/>
    </row>
    <row r="28">
      <c r="A28" s="3" t="inlineStr">
        <is>
          <t xml:space="preserve">DL-P-02</t>
        </is>
      </c>
      <c r="B28" s="2" t="inlineStr">
        <is>
          <t xml:space="preserve">E. Concurrent editing - Positive</t>
        </is>
      </c>
      <c r="C28" s="2" t="inlineStr">
        <is>
          <t xml:space="preserve">Positive</t>
        </is>
      </c>
      <c r="D28" s="2" t="inlineStr">
        <is>
          <t xml:space="preserve">Another member’s change appears without a page reload</t>
        </is>
      </c>
      <c r="E28" s="2" t="inlineStr">
        <is>
          <t xml:space="preserve">Two-user set-up, both windows visible on screen.</t>
        </is>
      </c>
      <c r="F28" s="2" t="inlineStr">
        <is>
          <t xml:space="preserve">1. Ben changes a value and clicks away so it saves.
2. Ann watches her screen without touching anything.
3. Time how long it takes to appear.</t>
        </is>
      </c>
      <c r="G28" s="2" t="inlineStr">
        <is>
          <t xml:space="preserve">Ben’s new value appears on Ann’s screen within about 5-10 seconds. Ann’s scroll position and the field she has focus in are not disturbed.</t>
        </is>
      </c>
      <c r="H28" s="4"/>
      <c r="I28" s="4"/>
      <c r="J28" s="4"/>
      <c r="K28" s="4"/>
      <c r="L28" s="4"/>
    </row>
    <row r="29">
      <c r="A29" s="3" t="inlineStr">
        <is>
          <t xml:space="preserve">DL-P-03</t>
        </is>
      </c>
      <c r="B29" s="2" t="inlineStr">
        <is>
          <t xml:space="preserve">E. Concurrent editing - Positive</t>
        </is>
      </c>
      <c r="C29" s="2" t="inlineStr">
        <is>
          <t xml:space="preserve">Positive</t>
        </is>
      </c>
      <c r="D29" s="2" t="inlineStr">
        <is>
          <t xml:space="preserve">My unsent edit still reaches the database after their change arrives</t>
        </is>
      </c>
      <c r="E29" s="2" t="inlineStr">
        <is>
          <t xml:space="preserve">Two-user set-up.</t>
        </is>
      </c>
      <c r="F29" s="2" t="inlineStr">
        <is>
          <t xml:space="preserve">1. Ann types a new value into field A and leaves the cursor in it (does not click away).
2. Within the next second or two, Ben saves a change to field B.
3. Ann waits 15 seconds, then reloads her page.
4. Ben reloads too.</t>
        </is>
      </c>
      <c r="G29" s="2" t="inlineStr">
        <is>
          <t xml:space="preserve">After the reload, BOTH Ann’s value in field A and Ben’s value in field B are present, on both screens. Ann’s edit was kept through the merge and then sent to the server on its own - it did not stay only in her browser.</t>
        </is>
      </c>
      <c r="H29" s="4"/>
      <c r="I29" s="4"/>
      <c r="J29" s="4"/>
      <c r="K29" s="4"/>
      <c r="L29" s="4"/>
    </row>
    <row r="30">
      <c r="A30" s="3" t="inlineStr">
        <is>
          <t xml:space="preserve">DL-P-04</t>
        </is>
      </c>
      <c r="B30" s="2" t="inlineStr">
        <is>
          <t xml:space="preserve">E. Concurrent editing - Positive</t>
        </is>
      </c>
      <c r="C30" s="2" t="inlineStr">
        <is>
          <t xml:space="preserve">Positive</t>
        </is>
      </c>
      <c r="D30" s="2" t="inlineStr">
        <is>
          <t xml:space="preserve">Same record, different fields</t>
        </is>
      </c>
      <c r="E30" s="2" t="inlineStr">
        <is>
          <t xml:space="preserve">Two-user set-up, both looking at the same row/record (for example the same project).</t>
        </is>
      </c>
      <c r="F30" s="2" t="inlineStr">
        <is>
          <t xml:space="preserve">1. Ann edits the record’s name.
2. Ben edits the same record’s owner (a different field on the same row).
3. Both save and wait 10 seconds, then reload.</t>
        </is>
      </c>
      <c r="G30" s="2" t="inlineStr">
        <is>
          <t xml:space="preserve">The record ends up with Ann’s name AND Ben’s owner. Neither edit replaces the other, and the row does not disappear or duplicate.</t>
        </is>
      </c>
      <c r="H30" s="4"/>
      <c r="I30" s="4"/>
      <c r="J30" s="4"/>
      <c r="K30" s="4"/>
      <c r="L30" s="4"/>
    </row>
    <row r="31">
      <c r="A31" s="3" t="inlineStr">
        <is>
          <t xml:space="preserve">DL-P-05</t>
        </is>
      </c>
      <c r="B31" s="2" t="inlineStr">
        <is>
          <t xml:space="preserve">E. Concurrent editing - Positive</t>
        </is>
      </c>
      <c r="C31" s="2" t="inlineStr">
        <is>
          <t xml:space="preserve">Positive</t>
        </is>
      </c>
      <c r="D31" s="2" t="inlineStr">
        <is>
          <t xml:space="preserve">Record lock warns the second editor</t>
        </is>
      </c>
      <c r="E31" s="2" t="inlineStr">
        <is>
          <t xml:space="preserve">Two-user set-up, both on a screen that uses record locking.</t>
        </is>
      </c>
      <c r="F31" s="2" t="inlineStr">
        <is>
          <t xml:space="preserve">1. Ann clicks into a field on a record and keeps the cursor there.
2. Ben tries to click into the same record within a few seconds.
3. Ann clicks away onto another record.
4. Ben tries again.</t>
        </is>
      </c>
      <c r="G31" s="2" t="inlineStr">
        <is>
          <t xml:space="preserve">Ben sees "Locked - Ann is editing" and cannot type into that record. Within a few seconds of Ann leaving the field, the lock clears and Ben can edit normally.</t>
        </is>
      </c>
      <c r="H31" s="4"/>
      <c r="I31" s="4"/>
      <c r="J31" s="4"/>
      <c r="K31" s="4"/>
      <c r="L31" s="4"/>
    </row>
    <row r="32">
      <c r="A32" s="3" t="inlineStr">
        <is>
          <t xml:space="preserve">DL-P-06</t>
        </is>
      </c>
      <c r="B32" s="2" t="inlineStr">
        <is>
          <t xml:space="preserve">E. Concurrent editing - Positive</t>
        </is>
      </c>
      <c r="C32" s="2" t="inlineStr">
        <is>
          <t xml:space="preserve">Positive</t>
        </is>
      </c>
      <c r="D32" s="2" t="inlineStr">
        <is>
          <t xml:space="preserve">Rows added by two people all survive</t>
        </is>
      </c>
      <c r="E32" s="2" t="inlineStr">
        <is>
          <t xml:space="preserve">Two-user set-up, both on the same list screen (ideas, projects, fund lines).</t>
        </is>
      </c>
      <c r="F32" s="2" t="inlineStr">
        <is>
          <t xml:space="preserve">1. Ann adds two rows and fills them in.
2. Ben adds two different rows at roughly the same time.
3. Wait 10 seconds; both reload and count the rows.</t>
        </is>
      </c>
      <c r="G32" s="2" t="inlineStr">
        <is>
          <t xml:space="preserve">All four rows exist on both screens, each with its own contents. Existing rows do not jump around the list, and nothing is duplicated.</t>
        </is>
      </c>
      <c r="H32" s="4"/>
      <c r="I32" s="4"/>
      <c r="J32" s="4"/>
      <c r="K32" s="4"/>
      <c r="L32" s="4"/>
    </row>
    <row r="33">
      <c r="A33" s="3" t="inlineStr">
        <is>
          <t xml:space="preserve">DL-N-01</t>
        </is>
      </c>
      <c r="B33" s="10" t="inlineStr">
        <is>
          <t xml:space="preserve">F. Data-loss defect (must pass)</t>
        </is>
      </c>
      <c r="C33" s="10" t="inlineStr">
        <is>
          <t xml:space="preserve">Defect</t>
        </is>
      </c>
      <c r="D33" s="2" t="inlineStr">
        <is>
          <t xml:space="preserve">Unsaved typing is not wiped when another member saves</t>
        </is>
      </c>
      <c r="E33" s="2" t="inlineStr">
        <is>
          <t xml:space="preserve">Two-user set-up. Ann and Ben have the same program and page open.</t>
        </is>
      </c>
      <c r="F33" s="2" t="inlineStr">
        <is>
          <t xml:space="preserve">1. Ann types a long sentence into a text field and LEAVES THE CURSOR IN IT. She does not click away or press save.
2. Ben immediately changes any other value on the same page and clicks away so it saves.
3. Ann keeps watching her screen for 20 seconds without touching anything.
4. Ann then clicks away from the field and reloads.</t>
        </is>
      </c>
      <c r="G33" s="2" t="inlineStr">
        <is>
          <t xml:space="preserve">Ann’s sentence stays exactly as she typed it - not cleared, shortened or reverted to the old value - and her cursor stays where it was. Ben’s change appears elsewhere on the page. After Ann’s reload, her sentence is still there and saved.</t>
        </is>
      </c>
      <c r="H33" s="4"/>
      <c r="I33" s="4"/>
      <c r="J33" s="4"/>
      <c r="K33" s="4"/>
      <c r="L33" s="4"/>
    </row>
    <row r="34">
      <c r="A34" s="3" t="inlineStr">
        <is>
          <t xml:space="preserve">DL-N-02</t>
        </is>
      </c>
      <c r="B34" s="10" t="inlineStr">
        <is>
          <t xml:space="preserve">F. Data-loss defect (must pass)</t>
        </is>
      </c>
      <c r="C34" s="10" t="inlineStr">
        <is>
          <t xml:space="preserve">Defect</t>
        </is>
      </c>
      <c r="D34" s="2" t="inlineStr">
        <is>
          <t xml:space="preserve">Both members change the same field</t>
        </is>
      </c>
      <c r="E34" s="2" t="inlineStr">
        <is>
          <t xml:space="preserve">Two-user set-up, both on the same field (locking off, or a field with no lock).</t>
        </is>
      </c>
      <c r="F34" s="2" t="inlineStr">
        <is>
          <t xml:space="preserve">1. Ann types "Ann’s version" into the field and leaves it unsaved.
2. Ben types "Ben’s version" into the same field and saves.
3. Ann waits 10 seconds and reads her screen and any message shown.
4. Ann reloads.</t>
        </is>
      </c>
      <c r="G34" s="2" t="inlineStr">
        <is>
          <t xml:space="preserve">Ann keeps seeing "Ann’s version" and gets a message like "Another member edited something you were also changing - your version was kept." Nothing is lost silently: Ann’s value is kept on screen and saved, and Ben’s value is still recorded in the database. One message per sync, not a stream of them.</t>
        </is>
      </c>
      <c r="H34" s="4"/>
      <c r="I34" s="4"/>
      <c r="J34" s="4"/>
      <c r="K34" s="4"/>
      <c r="L34" s="4"/>
    </row>
    <row r="35">
      <c r="A35" s="3" t="inlineStr">
        <is>
          <t xml:space="preserve">DL-N-03</t>
        </is>
      </c>
      <c r="B35" s="10" t="inlineStr">
        <is>
          <t xml:space="preserve">F. Data-loss defect (must pass)</t>
        </is>
      </c>
      <c r="C35" s="10" t="inlineStr">
        <is>
          <t xml:space="preserve">Defect</t>
        </is>
      </c>
      <c r="D35" s="2" t="inlineStr">
        <is>
          <t xml:space="preserve">Leaving the page immediately after typing</t>
        </is>
      </c>
      <c r="E35" s="2" t="inlineStr">
        <is>
          <t xml:space="preserve">Signed in, on any page with editable fields.</t>
        </is>
      </c>
      <c r="F35" s="2" t="inlineStr">
        <is>
          <t xml:space="preserve">1. Type into a field and, within a second, click a link to another page or step.
2. Go back to the first page.
3. Repeat, but this time move to a different program from the menu.
4. Repeat once more, but reload the browser within a second of typing.</t>
        </is>
      </c>
      <c r="G35" s="2" t="inlineStr">
        <is>
          <t xml:space="preserve">In all four attempts the typed value is still there when you come back, and it is in the database (confirm by reloading in the other browser). Moving away quickly must not throw away the last thing typed.</t>
        </is>
      </c>
      <c r="H35" s="4"/>
      <c r="I35" s="4"/>
      <c r="J35" s="4"/>
      <c r="K35" s="4"/>
      <c r="L35" s="4"/>
    </row>
    <row r="36">
      <c r="A36" s="3" t="inlineStr">
        <is>
          <t xml:space="preserve">DL-N-04</t>
        </is>
      </c>
      <c r="B36" s="10" t="inlineStr">
        <is>
          <t xml:space="preserve">F. Data-loss defect (must pass)</t>
        </is>
      </c>
      <c r="C36" s="10" t="inlineStr">
        <is>
          <t xml:space="preserve">Defect</t>
        </is>
      </c>
      <c r="D36" s="2" t="inlineStr">
        <is>
          <t xml:space="preserve">A page that was only read does not overwrite someone else’s work</t>
        </is>
      </c>
      <c r="E36" s="2" t="inlineStr">
        <is>
          <t xml:space="preserve">Two-user set-up on a program with long text answers (for example Executive Readiness).</t>
        </is>
      </c>
      <c r="F36" s="2" t="inlineStr">
        <is>
          <t xml:space="preserve">1. Ann opens a page with existing answers and READS IT ONLY - she types nothing.
2. Ben opens the same page, rewrites one answer and saves.
3. Ann waits 10 seconds, then clicks to another page and back.
4. Both reload.</t>
        </is>
      </c>
      <c r="G36" s="2" t="inlineStr">
        <is>
          <t xml:space="preserve">Ben’s rewritten answer stands. Ann’s browser must not push the older text it was displaying back over Ben’s change simply because she had the page open.</t>
        </is>
      </c>
      <c r="H36" s="4"/>
      <c r="I36" s="4"/>
      <c r="J36" s="4"/>
      <c r="K36" s="4"/>
      <c r="L36" s="4"/>
    </row>
    <row r="37">
      <c r="A37" s="3" t="inlineStr">
        <is>
          <t xml:space="preserve">DL-N-05</t>
        </is>
      </c>
      <c r="B37" s="10" t="inlineStr">
        <is>
          <t xml:space="preserve">F. Data-loss defect (must pass)</t>
        </is>
      </c>
      <c r="C37" s="10" t="inlineStr">
        <is>
          <t xml:space="preserve">Defect</t>
        </is>
      </c>
      <c r="D37" s="2" t="inlineStr">
        <is>
          <t xml:space="preserve">One deletes a row while the other edits it</t>
        </is>
      </c>
      <c r="E37" s="2" t="inlineStr">
        <is>
          <t xml:space="preserve">Two-user set-up, both on the same list with at least three rows.</t>
        </is>
      </c>
      <c r="F37" s="2" t="inlineStr">
        <is>
          <t xml:space="preserve">1. Ann starts editing row 2 but does not save.
2. Ben deletes row 2.
3. Wait 10 seconds. Both check the list, then reload.
4. Repeat with a row nobody is editing: Ben deletes row 3 while Ann edits row 1.</t>
        </is>
      </c>
      <c r="G37" s="2" t="inlineStr">
        <is>
          <t xml:space="preserve">The uncontested delete (row 3) is applied for both. For the contested row, nothing vanishes silently while Ann is typing in it - her work is kept and she is told another member changed it. Other rows are untouched in every case.</t>
        </is>
      </c>
      <c r="H37" s="4"/>
      <c r="I37" s="4"/>
      <c r="J37" s="4"/>
      <c r="K37" s="4"/>
      <c r="L37" s="4"/>
    </row>
    <row r="38">
      <c r="A38" s="3" t="inlineStr">
        <is>
          <t xml:space="preserve">DL-N-06</t>
        </is>
      </c>
      <c r="B38" s="10" t="inlineStr">
        <is>
          <t xml:space="preserve">F. Data-loss defect (must pass)</t>
        </is>
      </c>
      <c r="C38" s="10" t="inlineStr">
        <is>
          <t xml:space="preserve">Defect</t>
        </is>
      </c>
      <c r="D38" s="2" t="inlineStr">
        <is>
          <t xml:space="preserve">Working offline, then reconnecting</t>
        </is>
      </c>
      <c r="E38" s="2" t="inlineStr">
        <is>
          <t xml:space="preserve">Two-user set-up. Dev tools available on Ann’s browser to switch the network off.</t>
        </is>
      </c>
      <c r="F38" s="2" t="inlineStr">
        <is>
          <t xml:space="preserve">1. Ann goes offline and edits three fields in different sections.
2. While she is offline, Ben edits a fourth field and saves.
3. Ann comes back online and waits 15 seconds.
4. Both reload.</t>
        </is>
      </c>
      <c r="G38" s="2" t="inlineStr">
        <is>
          <t xml:space="preserve">Ann sees an offline notice while disconnected ("your recent changes are not saved yet. Retrying..."). On reconnect her three edits are sent and stored, Ben’s edit is still there, and none of the four values is lost.</t>
        </is>
      </c>
      <c r="H38" s="4"/>
      <c r="I38" s="4"/>
      <c r="J38" s="4"/>
      <c r="K38" s="4"/>
      <c r="L38" s="4"/>
    </row>
    <row r="39">
      <c r="A39" s="3" t="inlineStr">
        <is>
          <t xml:space="preserve">DL-N-07</t>
        </is>
      </c>
      <c r="B39" s="10" t="inlineStr">
        <is>
          <t xml:space="preserve">F. Data-loss defect (must pass)</t>
        </is>
      </c>
      <c r="C39" s="10" t="inlineStr">
        <is>
          <t xml:space="preserve">Defect</t>
        </is>
      </c>
      <c r="D39" s="2" t="inlineStr">
        <is>
          <t xml:space="preserve">Reload during the short save delay</t>
        </is>
      </c>
      <c r="E39" s="2" t="inlineStr">
        <is>
          <t xml:space="preserve">Signed in on any editable page.</t>
        </is>
      </c>
      <c r="F39" s="2" t="inlineStr">
        <is>
          <t xml:space="preserve">1. Type a value and press F5 within half a second.
2. Check the field after the page loads.
3. Open the same program in the second browser as Ben and check the value there.</t>
        </is>
      </c>
      <c r="G39" s="2" t="inlineStr">
        <is>
          <t xml:space="preserve">The typed value is still shown after the reload and reaches the database, so Ben sees it too. The reload must not bring back the older stored version.</t>
        </is>
      </c>
      <c r="H39" s="4"/>
      <c r="I39" s="4"/>
      <c r="J39" s="4"/>
      <c r="K39" s="4"/>
      <c r="L39" s="4"/>
    </row>
    <row r="40">
      <c r="A40" s="3" t="inlineStr">
        <is>
          <t xml:space="preserve">DL-E-01</t>
        </is>
      </c>
      <c r="B40" s="2" t="inlineStr">
        <is>
          <t xml:space="preserve">G. Sync - Edge</t>
        </is>
      </c>
      <c r="C40" s="2" t="inlineStr">
        <is>
          <t xml:space="preserve">Edge case</t>
        </is>
      </c>
      <c r="D40" s="2" t="inlineStr">
        <is>
          <t xml:space="preserve">An idle browser saves nothing</t>
        </is>
      </c>
      <c r="E40" s="2" t="inlineStr">
        <is>
          <t xml:space="preserve">Signed in, program open, dev tools Network tab open and filtered to "workspace".</t>
        </is>
      </c>
      <c r="F40" s="2" t="inlineStr">
        <is>
          <t xml:space="preserve">1. Leave the page untouched for 2 minutes and count the save requests.
2. Click through five pages without typing anything. Count again.
3. Make one edit and count again.</t>
        </is>
      </c>
      <c r="G40" s="2" t="inlineStr">
        <is>
          <t xml:space="preserve">Step 1: zero saves. Step 2: zero saves. Step 3: exactly one save. Simply reading the app must never rewrite the workspace.</t>
        </is>
      </c>
      <c r="H40" s="4"/>
      <c r="I40" s="4"/>
      <c r="J40" s="4"/>
      <c r="K40" s="4"/>
      <c r="L40" s="4"/>
    </row>
    <row r="41">
      <c r="A41" s="3" t="inlineStr">
        <is>
          <t xml:space="preserve">DL-E-02</t>
        </is>
      </c>
      <c r="B41" s="2" t="inlineStr">
        <is>
          <t xml:space="preserve">G. Sync - Edge</t>
        </is>
      </c>
      <c r="C41" s="2" t="inlineStr">
        <is>
          <t xml:space="preserve">Edge case</t>
        </is>
      </c>
      <c r="D41" s="2" t="inlineStr">
        <is>
          <t xml:space="preserve">Background tab catches up when brought back</t>
        </is>
      </c>
      <c r="E41" s="2" t="inlineStr">
        <is>
          <t xml:space="preserve">Two-user set-up.</t>
        </is>
      </c>
      <c r="F41" s="2" t="inlineStr">
        <is>
          <t xml:space="preserve">1. Ann types an unsaved value, then switches to another application so her window is hidden.
2. Ben makes several changes over 2 minutes.
3. Ann brings her window back to the front and waits 10 seconds.</t>
        </is>
      </c>
      <c r="G41" s="2" t="inlineStr">
        <is>
          <t xml:space="preserve">Ann’s unsaved value is still on screen. Ben’s changes appear once she returns. No flood of messages, no reset of her page.</t>
        </is>
      </c>
      <c r="H41" s="4"/>
      <c r="I41" s="4"/>
      <c r="J41" s="4"/>
      <c r="K41" s="4"/>
      <c r="L41" s="4"/>
    </row>
    <row r="42">
      <c r="A42" s="3" t="inlineStr">
        <is>
          <t xml:space="preserve">DL-E-03</t>
        </is>
      </c>
      <c r="B42" s="2" t="inlineStr">
        <is>
          <t xml:space="preserve">G. Sync - Edge</t>
        </is>
      </c>
      <c r="C42" s="2" t="inlineStr">
        <is>
          <t xml:space="preserve">Edge case</t>
        </is>
      </c>
      <c r="D42" s="2" t="inlineStr">
        <is>
          <t xml:space="preserve">A lock holder closes the tab or loses power</t>
        </is>
      </c>
      <c r="E42" s="2" t="inlineStr">
        <is>
          <t xml:space="preserve">Two-user set-up on a screen with record locking.</t>
        </is>
      </c>
      <c r="F42" s="2" t="inlineStr">
        <is>
          <t xml:space="preserve">1. Ann clicks into a record so she holds the lock.
2. Close Ann’s tab. Ben tries to edit the same record.
3. Repeat, but this time kill Ann’s browser process instead of closing the tab. Ben waits up to 20 seconds and tries again.</t>
        </is>
      </c>
      <c r="G42" s="2" t="inlineStr">
        <is>
          <t xml:space="preserve">After a clean close, the record frees almost immediately. After a hard kill it frees within about 15 seconds. A record can never stay locked forever by someone who has gone.</t>
        </is>
      </c>
      <c r="H42" s="4"/>
      <c r="I42" s="4"/>
      <c r="J42" s="4"/>
      <c r="K42" s="4"/>
      <c r="L42" s="4"/>
    </row>
    <row r="43">
      <c r="A43" s="3" t="inlineStr">
        <is>
          <t xml:space="preserve">DL-E-04</t>
        </is>
      </c>
      <c r="B43" s="2" t="inlineStr">
        <is>
          <t xml:space="preserve">G. Sync - Edge</t>
        </is>
      </c>
      <c r="C43" s="2" t="inlineStr">
        <is>
          <t xml:space="preserve">Edge case</t>
        </is>
      </c>
      <c r="D43" s="2" t="inlineStr">
        <is>
          <t xml:space="preserve">The lock service is unavailable</t>
        </is>
      </c>
      <c r="E43" s="2" t="inlineStr">
        <is>
          <t xml:space="preserve">Ability to block the lock requests (dev tools request blocking on /workspace/locks) or stop that part of the service.</t>
        </is>
      </c>
      <c r="F43" s="2" t="inlineStr">
        <is>
          <t xml:space="preserve">1. Block the lock requests in Ann’s browser.
2. Ann edits several fields and saves.
3. Ben edits a different section and saves.
4. Unblock and reload both.</t>
        </is>
      </c>
      <c r="G43" s="2" t="inlineStr">
        <is>
          <t xml:space="preserve">Ann can still work - a lock service that is down never stops someone editing. Both sets of changes are saved. No crash, no endless spinner, no error dialog on every keystroke.</t>
        </is>
      </c>
      <c r="H43" s="4"/>
      <c r="I43" s="4"/>
      <c r="J43" s="4"/>
      <c r="K43" s="4"/>
      <c r="L43" s="4"/>
    </row>
    <row r="44">
      <c r="A44" s="3" t="inlineStr">
        <is>
          <t xml:space="preserve">DL-E-05</t>
        </is>
      </c>
      <c r="B44" s="2" t="inlineStr">
        <is>
          <t xml:space="preserve">G. Sync - Edge</t>
        </is>
      </c>
      <c r="C44" s="2" t="inlineStr">
        <is>
          <t xml:space="preserve">Edge case</t>
        </is>
      </c>
      <c r="D44" s="2" t="inlineStr">
        <is>
          <t xml:space="preserve">Large workspace with sample data loaded</t>
        </is>
      </c>
      <c r="E44" s="2" t="inlineStr">
        <is>
          <t xml:space="preserve">An organization with the sample data seeded (More menu &gt; Seed sample data), so the workspace is large.</t>
        </is>
      </c>
      <c r="F44" s="2" t="inlineStr">
        <is>
          <t xml:space="preserve">1. Ann seeds the sample data and waits for it to settle.
2. Ben opens the same program and edits one record.
3. Ann edits a different record at the same time.
4. Both reload and check the sample content, the team list and both edits.</t>
        </is>
      </c>
      <c r="G44" s="2" t="inlineStr">
        <is>
          <t xml:space="preserve">The full sample data is present after reload - ideas, projects, team members and their step assignments. Both edits survive. No section is emptied by the merge and the page stays responsive.</t>
        </is>
      </c>
      <c r="H44" s="4"/>
      <c r="I44" s="4"/>
      <c r="J44" s="4"/>
      <c r="K44" s="4"/>
      <c r="L44" s="4"/>
    </row>
    <row r="45">
      <c r="A45" s="3" t="inlineStr">
        <is>
          <t xml:space="preserve">DL-M-01</t>
        </is>
      </c>
      <c r="B45" s="2" t="inlineStr">
        <is>
          <t xml:space="preserve">H. Sync - Multi-user</t>
        </is>
      </c>
      <c r="C45" s="2" t="inlineStr">
        <is>
          <t xml:space="preserve">Multi-user</t>
        </is>
      </c>
      <c r="D45" s="2" t="inlineStr">
        <is>
          <t xml:space="preserve">Three members working for ten minutes</t>
        </is>
      </c>
      <c r="E45" s="2" t="inlineStr">
        <is>
          <t xml:space="preserve">Three browser profiles signed in as Ann, Ben and Cara, same organization, same program.</t>
        </is>
      </c>
      <c r="F45" s="2" t="inlineStr">
        <is>
          <t xml:space="preserve">1. Give each person a different section to work in.
2. All three edit continuously for 10 minutes, adding rows and changing values. Keep a written list of what each person entered.
3. All three reload and compare against the list.</t>
        </is>
      </c>
      <c r="G45" s="2" t="inlineStr">
        <is>
          <t xml:space="preserve">Every entry on the list is present on all three screens. Nothing is missing, duplicated or reverted, and no one is interrupted by repeated messages.</t>
        </is>
      </c>
      <c r="H45" s="4"/>
      <c r="I45" s="4"/>
      <c r="J45" s="4"/>
      <c r="K45" s="4"/>
      <c r="L45" s="4"/>
    </row>
    <row r="46">
      <c r="A46" s="3" t="inlineStr">
        <is>
          <t xml:space="preserve">DL-M-02</t>
        </is>
      </c>
      <c r="B46" s="2" t="inlineStr">
        <is>
          <t xml:space="preserve">H. Sync - Multi-user</t>
        </is>
      </c>
      <c r="C46" s="2" t="inlineStr">
        <is>
          <t xml:space="preserve">Multi-user</t>
        </is>
      </c>
      <c r="D46" s="2" t="inlineStr">
        <is>
          <t xml:space="preserve">The same person on two devices</t>
        </is>
      </c>
      <c r="E46" s="2" t="inlineStr">
        <is>
          <t xml:space="preserve">Ann signed in on two devices (or two browser profiles) at once.</t>
        </is>
      </c>
      <c r="F46" s="2" t="inlineStr">
        <is>
          <t xml:space="preserve">1. Ann edits section 1 on device A.
2. Ann edits section 2 on device B.
3. Wait 10 seconds, then reload both.</t>
        </is>
      </c>
      <c r="G46" s="2" t="inlineStr">
        <is>
          <t xml:space="preserve">Both edits are present on both devices. One device does not undo the other’s work.</t>
        </is>
      </c>
      <c r="H46" s="4"/>
      <c r="I46" s="4"/>
      <c r="J46" s="4"/>
      <c r="K46" s="4"/>
      <c r="L46" s="4"/>
    </row>
    <row r="47">
      <c r="A47" s="3" t="inlineStr">
        <is>
          <t xml:space="preserve">DL-M-03</t>
        </is>
      </c>
      <c r="B47" s="2" t="inlineStr">
        <is>
          <t xml:space="preserve">H. Sync - Multi-user</t>
        </is>
      </c>
      <c r="C47" s="2" t="inlineStr">
        <is>
          <t xml:space="preserve">Multi-user</t>
        </is>
      </c>
      <c r="D47" s="2" t="inlineStr">
        <is>
          <t xml:space="preserve">Admin edits the team while a member edits the program</t>
        </is>
      </c>
      <c r="E47" s="2" t="inlineStr">
        <is>
          <t xml:space="preserve">Ann (admin) and Ben (member) signed in to the same organization.</t>
        </is>
      </c>
      <c r="F47" s="2" t="inlineStr">
        <is>
          <t xml:space="preserve">1. Ann opens Profile and changes the organization details and a member’s department.
2. At the same time Ben edits program content.
3. Both save, wait 10 seconds, then reload.</t>
        </is>
      </c>
      <c r="G47" s="2" t="inlineStr">
        <is>
          <t xml:space="preserve">Ann’s organization and team changes are stored, and Ben’s program content is stored. The team list does not revert, and Ben’s work is not replaced by the roster update.</t>
        </is>
      </c>
      <c r="H47" s="4"/>
      <c r="I47" s="4"/>
      <c r="J47" s="4"/>
      <c r="K47" s="4"/>
      <c r="L47" s="4"/>
    </row>
    <row r="48">
      <c r="A48" s="3" t="inlineStr">
        <is>
          <t xml:space="preserve">DL-M-04</t>
        </is>
      </c>
      <c r="B48" s="2" t="inlineStr">
        <is>
          <t xml:space="preserve">H. Sync - Multi-user</t>
        </is>
      </c>
      <c r="C48" s="2" t="inlineStr">
        <is>
          <t xml:space="preserve">Multi-user</t>
        </is>
      </c>
      <c r="D48" s="2" t="inlineStr">
        <is>
          <t xml:space="preserve">Rapid back-and-forth on one record</t>
        </is>
      </c>
      <c r="E48" s="2" t="inlineStr">
        <is>
          <t xml:space="preserve">Two-user set-up on the same record.</t>
        </is>
      </c>
      <c r="F48" s="2" t="inlineStr">
        <is>
          <t xml:space="preserve">1. Ann and Ben take turns changing the same record, about one change every 2 seconds, for 2 minutes. Write down the last value entered and by whom.
2. Both stop, wait 15 seconds, then reload.</t>
        </is>
      </c>
      <c r="G48" s="2" t="inlineStr">
        <is>
          <t xml:space="preserve">Both screens show the same record and it matches the last value entered. No older value comes back later, no duplicate row appears, and any clashes were reported at the time rather than resolved in silence.</t>
        </is>
      </c>
      <c r="H48" s="4"/>
      <c r="I48" s="4"/>
      <c r="J48" s="4"/>
      <c r="K48" s="4"/>
      <c r="L48" s="4"/>
    </row>
  </sheetData>
  <autoFilter ref="A1:L48"/>
  <dataValidations count="1">
    <dataValidation type="list" allowBlank="1" showInputMessage="1" showErrorMessage="1" sqref="I2:I48">
      <formula1>"Pass,Fail,Blocked,Not Run"</formula1>
    </dataValidation>
  </dataValidations>
</worksheet>
</file>

<file path=xl/worksheets/sheet2.xml><?xml version="1.0" encoding="utf-8"?>
<worksheet xmlns="http://schemas.openxmlformats.org/spreadsheetml/2006/main">
  <dimension ref="A1:G24"/>
  <sheetViews>
    <sheetView workbookViewId="0"/>
  </sheetViews>
  <sheetFormatPr defaultRowHeight="15"/>
  <cols>
    <col min="1" max="1" width="34" customWidth="1"/>
    <col min="2" max="6" width="11" customWidth="1"/>
    <col min="7" max="7" width="40" customWidth="1"/>
  </cols>
  <sheetData>
    <row r="1" ht="26" customHeight="1">
      <c r="A1" s="5" t="inlineStr">
        <is>
          <t xml:space="preserve">Run summary</t>
        </is>
      </c>
    </row>
    <row r="2">
      <c r="A2" s="11" t="inlineStr">
        <is>
          <t xml:space="preserve">Counts update automatically from the Pass / Fail column on the Test Cases sheet.</t>
        </is>
      </c>
    </row>
    <row r="4" ht="26" customHeight="1">
      <c r="A4" s="1" t="inlineStr">
        <is>
          <t xml:space="preserve">Group</t>
        </is>
      </c>
      <c r="B4" s="1" t="inlineStr">
        <is>
          <t xml:space="preserve">Cases</t>
        </is>
      </c>
      <c r="C4" s="1" t="inlineStr">
        <is>
          <t xml:space="preserve">Pass</t>
        </is>
      </c>
      <c r="D4" s="1" t="inlineStr">
        <is>
          <t xml:space="preserve">Fail</t>
        </is>
      </c>
      <c r="E4" s="1" t="inlineStr">
        <is>
          <t xml:space="preserve">Blocked</t>
        </is>
      </c>
      <c r="F4" s="1" t="inlineStr">
        <is>
          <t xml:space="preserve">Not run</t>
        </is>
      </c>
      <c r="G4" s="1" t="inlineStr">
        <is>
          <t xml:space="preserve">Notes</t>
        </is>
      </c>
    </row>
    <row r="5">
      <c r="A5" s="2" t="inlineStr">
        <is>
          <t xml:space="preserve">A. Onboarding - Positive</t>
        </is>
      </c>
      <c r="B5" s="9">
        <f>COUNTIF('Test Cases'!$B$2:$B$48,$A5)</f>
      </c>
      <c r="C5" s="9">
        <f>COUNTIFS('Test Cases'!$B$2:$B$48,$A5,'Test Cases'!$I$2:$I$48,"Pass")</f>
      </c>
      <c r="D5" s="9">
        <f>COUNTIFS('Test Cases'!$B$2:$B$48,$A5,'Test Cases'!$I$2:$I$48,"Fail")</f>
      </c>
      <c r="E5" s="9">
        <f>COUNTIFS('Test Cases'!$B$2:$B$48,$A5,'Test Cases'!$I$2:$I$48,"Blocked")</f>
      </c>
      <c r="F5" s="9">
        <f>B5-C5-D5-E5</f>
      </c>
      <c r="G5" s="4"/>
    </row>
    <row r="6">
      <c r="A6" s="2" t="inlineStr">
        <is>
          <t xml:space="preserve">B. Onboarding - Negative</t>
        </is>
      </c>
      <c r="B6" s="9">
        <f>COUNTIF('Test Cases'!$B$2:$B$48,$A6)</f>
      </c>
      <c r="C6" s="9">
        <f>COUNTIFS('Test Cases'!$B$2:$B$48,$A6,'Test Cases'!$I$2:$I$48,"Pass")</f>
      </c>
      <c r="D6" s="9">
        <f>COUNTIFS('Test Cases'!$B$2:$B$48,$A6,'Test Cases'!$I$2:$I$48,"Fail")</f>
      </c>
      <c r="E6" s="9">
        <f>COUNTIFS('Test Cases'!$B$2:$B$48,$A6,'Test Cases'!$I$2:$I$48,"Blocked")</f>
      </c>
      <c r="F6" s="9">
        <f>B6-C6-D6-E6</f>
      </c>
      <c r="G6" s="4"/>
    </row>
    <row r="7">
      <c r="A7" s="2" t="inlineStr">
        <is>
          <t xml:space="preserve">C. Onboarding - Edge</t>
        </is>
      </c>
      <c r="B7" s="9">
        <f>COUNTIF('Test Cases'!$B$2:$B$48,$A7)</f>
      </c>
      <c r="C7" s="9">
        <f>COUNTIFS('Test Cases'!$B$2:$B$48,$A7,'Test Cases'!$I$2:$I$48,"Pass")</f>
      </c>
      <c r="D7" s="9">
        <f>COUNTIFS('Test Cases'!$B$2:$B$48,$A7,'Test Cases'!$I$2:$I$48,"Fail")</f>
      </c>
      <c r="E7" s="9">
        <f>COUNTIFS('Test Cases'!$B$2:$B$48,$A7,'Test Cases'!$I$2:$I$48,"Blocked")</f>
      </c>
      <c r="F7" s="9">
        <f>B7-C7-D7-E7</f>
      </c>
      <c r="G7" s="4"/>
    </row>
    <row r="8">
      <c r="A8" s="2" t="inlineStr">
        <is>
          <t xml:space="preserve">D. Onboarding - Multi-user</t>
        </is>
      </c>
      <c r="B8" s="9">
        <f>COUNTIF('Test Cases'!$B$2:$B$48,$A8)</f>
      </c>
      <c r="C8" s="9">
        <f>COUNTIFS('Test Cases'!$B$2:$B$48,$A8,'Test Cases'!$I$2:$I$48,"Pass")</f>
      </c>
      <c r="D8" s="9">
        <f>COUNTIFS('Test Cases'!$B$2:$B$48,$A8,'Test Cases'!$I$2:$I$48,"Fail")</f>
      </c>
      <c r="E8" s="9">
        <f>COUNTIFS('Test Cases'!$B$2:$B$48,$A8,'Test Cases'!$I$2:$I$48,"Blocked")</f>
      </c>
      <c r="F8" s="9">
        <f>B8-C8-D8-E8</f>
      </c>
      <c r="G8" s="4"/>
    </row>
    <row r="9">
      <c r="A9" s="2" t="inlineStr">
        <is>
          <t xml:space="preserve">E. Concurrent editing - Positive</t>
        </is>
      </c>
      <c r="B9" s="9">
        <f>COUNTIF('Test Cases'!$B$2:$B$48,$A9)</f>
      </c>
      <c r="C9" s="9">
        <f>COUNTIFS('Test Cases'!$B$2:$B$48,$A9,'Test Cases'!$I$2:$I$48,"Pass")</f>
      </c>
      <c r="D9" s="9">
        <f>COUNTIFS('Test Cases'!$B$2:$B$48,$A9,'Test Cases'!$I$2:$I$48,"Fail")</f>
      </c>
      <c r="E9" s="9">
        <f>COUNTIFS('Test Cases'!$B$2:$B$48,$A9,'Test Cases'!$I$2:$I$48,"Blocked")</f>
      </c>
      <c r="F9" s="9">
        <f>B9-C9-D9-E9</f>
      </c>
      <c r="G9" s="4"/>
    </row>
    <row r="10">
      <c r="A10" s="2" t="inlineStr">
        <is>
          <t xml:space="preserve">F. Data-loss defect (must pass)</t>
        </is>
      </c>
      <c r="B10" s="9">
        <f>COUNTIF('Test Cases'!$B$2:$B$48,$A10)</f>
      </c>
      <c r="C10" s="9">
        <f>COUNTIFS('Test Cases'!$B$2:$B$48,$A10,'Test Cases'!$I$2:$I$48,"Pass")</f>
      </c>
      <c r="D10" s="9">
        <f>COUNTIFS('Test Cases'!$B$2:$B$48,$A10,'Test Cases'!$I$2:$I$48,"Fail")</f>
      </c>
      <c r="E10" s="9">
        <f>COUNTIFS('Test Cases'!$B$2:$B$48,$A10,'Test Cases'!$I$2:$I$48,"Blocked")</f>
      </c>
      <c r="F10" s="9">
        <f>B10-C10-D10-E10</f>
      </c>
      <c r="G10" s="4"/>
    </row>
    <row r="11">
      <c r="A11" s="2" t="inlineStr">
        <is>
          <t xml:space="preserve">G. Sync - Edge</t>
        </is>
      </c>
      <c r="B11" s="9">
        <f>COUNTIF('Test Cases'!$B$2:$B$48,$A11)</f>
      </c>
      <c r="C11" s="9">
        <f>COUNTIFS('Test Cases'!$B$2:$B$48,$A11,'Test Cases'!$I$2:$I$48,"Pass")</f>
      </c>
      <c r="D11" s="9">
        <f>COUNTIFS('Test Cases'!$B$2:$B$48,$A11,'Test Cases'!$I$2:$I$48,"Fail")</f>
      </c>
      <c r="E11" s="9">
        <f>COUNTIFS('Test Cases'!$B$2:$B$48,$A11,'Test Cases'!$I$2:$I$48,"Blocked")</f>
      </c>
      <c r="F11" s="9">
        <f>B11-C11-D11-E11</f>
      </c>
      <c r="G11" s="4"/>
    </row>
    <row r="12">
      <c r="A12" s="2" t="inlineStr">
        <is>
          <t xml:space="preserve">H. Sync - Multi-user</t>
        </is>
      </c>
      <c r="B12" s="9">
        <f>COUNTIF('Test Cases'!$B$2:$B$48,$A12)</f>
      </c>
      <c r="C12" s="9">
        <f>COUNTIFS('Test Cases'!$B$2:$B$48,$A12,'Test Cases'!$I$2:$I$48,"Pass")</f>
      </c>
      <c r="D12" s="9">
        <f>COUNTIFS('Test Cases'!$B$2:$B$48,$A12,'Test Cases'!$I$2:$I$48,"Fail")</f>
      </c>
      <c r="E12" s="9">
        <f>COUNTIFS('Test Cases'!$B$2:$B$48,$A12,'Test Cases'!$I$2:$I$48,"Blocked")</f>
      </c>
      <c r="F12" s="9">
        <f>B12-C12-D12-E12</f>
      </c>
      <c r="G12" s="4"/>
    </row>
    <row r="13">
      <c r="A13" s="8" t="inlineStr">
        <is>
          <t xml:space="preserve">Total</t>
        </is>
      </c>
      <c r="B13" s="8">
        <f>SUM(B5:B12)</f>
      </c>
      <c r="C13" s="8">
        <f>SUM(C5:C12)</f>
      </c>
      <c r="D13" s="8">
        <f>SUM(D5:D12)</f>
      </c>
      <c r="E13" s="8">
        <f>SUM(E5:E12)</f>
      </c>
      <c r="F13" s="8">
        <f>SUM(F5:F12)</f>
      </c>
      <c r="G13" s="8"/>
    </row>
    <row r="15" ht="22" customHeight="1">
      <c r="A15" s="6" t="inlineStr">
        <is>
          <t xml:space="preserve">Build / environment</t>
        </is>
      </c>
    </row>
    <row r="16">
      <c r="A16" s="8" t="inlineStr">
        <is>
          <t xml:space="preserve">Build or version tested</t>
        </is>
      </c>
      <c r="B16" s="4"/>
      <c r="C16" s="4"/>
    </row>
    <row r="17">
      <c r="A17" s="8" t="inlineStr">
        <is>
          <t xml:space="preserve">Environment / URL</t>
        </is>
      </c>
      <c r="B17" s="4"/>
      <c r="C17" s="4"/>
    </row>
    <row r="18">
      <c r="A18" s="8" t="inlineStr">
        <is>
          <t xml:space="preserve">Database</t>
        </is>
      </c>
      <c r="B18" s="4"/>
      <c r="C18" s="4"/>
    </row>
    <row r="19">
      <c r="A19" s="8" t="inlineStr">
        <is>
          <t xml:space="preserve">Tester(s)</t>
        </is>
      </c>
      <c r="B19" s="4"/>
      <c r="C19" s="4"/>
    </row>
    <row r="20">
      <c r="A20" s="8" t="inlineStr">
        <is>
          <t xml:space="preserve">Test run started</t>
        </is>
      </c>
      <c r="B20" s="4"/>
      <c r="C20" s="4"/>
    </row>
    <row r="21">
      <c r="A21" s="8" t="inlineStr">
        <is>
          <t xml:space="preserve">Test run finished</t>
        </is>
      </c>
      <c r="B21" s="4"/>
      <c r="C21" s="4"/>
    </row>
    <row r="23" ht="22" customHeight="1">
      <c r="A23" s="6" t="inlineStr">
        <is>
          <t xml:space="preserve">Reporting a data-loss failure</t>
        </is>
      </c>
    </row>
    <row r="24" ht="60" customHeight="1">
      <c r="A24" s="7" t="inlineStr">
        <is>
          <t xml:space="preserve">Include: the test case ID, the field or record, the exact value each member typed, the order and timing of their actions, whether either window was hidden, and screenshots of BOTH windows. Note also whether the value came back after a reload - lost on screen only and lost in the database are two different faults.</t>
        </is>
      </c>
    </row>
  </sheetData>
  <mergeCells count="1">
    <mergeCell ref="A24:G24"/>
  </mergeCells>
</worksheet>
</file>

<file path=xl/worksheets/sheet3.xml><?xml version="1.0" encoding="utf-8"?>
<worksheet xmlns="http://schemas.openxmlformats.org/spreadsheetml/2006/main">
  <dimension ref="A1:F35"/>
  <sheetViews>
    <sheetView workbookViewId="0"/>
  </sheetViews>
  <sheetFormatPr defaultRowHeight="15"/>
  <cols>
    <col min="1" max="6" width="22" customWidth="1"/>
  </cols>
  <sheetData>
    <row r="1" ht="26" customHeight="1">
      <c r="A1" s="5" t="inlineStr">
        <is>
          <t xml:space="preserve">How to run this suite</t>
        </is>
      </c>
    </row>
    <row r="2"/>
    <row r="3" ht="60" customHeight="1">
      <c r="A3" s="7" t="inlineStr">
        <is>
          <t xml:space="preserve">Every test case has seven parts. Actual Result and Pass / Fail are left blank on purpose - they are yours to complete. Pass / Fail is a drop-down: Pass, Fail, Blocked, Not Run. If a case cannot be run, choose Blocked and write why in the Notes column.</t>
        </is>
      </c>
    </row>
    <row r="4"/>
    <row r="5" ht="26" customHeight="1">
      <c r="A5" s="6" t="inlineStr">
        <is>
          <t xml:space="preserve">Two-user set-up (needed for every multi-user case and most DL cases)</t>
        </is>
      </c>
    </row>
    <row r="6"/>
    <row r="7" ht="135" customHeight="1">
      <c r="A7" s="7" t="inlineStr">
        <is>
          <t xml:space="preserve">1. Use two SEPARATE browser profiles (or one normal window and one private/incognito window). Two tabs in the same profile share one login and will not reproduce the defect.
2. Sign in as two different members of the same organization, and open the same program in both.
3. Keep both windows visible side by side. The app pauses its 5-second sync check in a hidden tab, so a minimised window looks like sync is broken.
4. Where a case says "wait for sync", allow up to 10 seconds (a 5-second check plus the save itself).</t>
        </is>
      </c>
    </row>
    <row r="8"/>
    <row r="9" ht="26" customHeight="1">
      <c r="A9" s="6" t="inlineStr">
        <is>
          <t xml:space="preserve">Test data</t>
        </is>
      </c>
    </row>
    <row r="10"/>
    <row r="11" ht="105" customHeight="1">
      <c r="A11" s="7" t="inlineStr">
        <is>
          <t xml:space="preserve">Ann - org admin / owner. Creates the organization, adds members, edits org details.
Ben - team member. Second editor in all multi-user cases.
Cara - team member. Third editor in the DL-M cases.
Super Admin - app admin passcode. Used for entitlement and console cases.</t>
        </is>
      </c>
    </row>
    <row r="12"/>
    <row r="13" ht="26" customHeight="1">
      <c r="A13" s="6" t="inlineStr">
        <is>
          <t xml:space="preserve">ID prefixes</t>
        </is>
      </c>
    </row>
    <row r="14"/>
    <row r="15" ht="195" customHeight="1">
      <c r="A15" s="7" t="inlineStr">
        <is>
          <t xml:space="preserve">OB-P  Onboarding, positive (the flow works as intended) - 8 cases
OB-N  Onboarding, negative (bad input, failures, refusals) - 7 cases
OB-E  Onboarding, edge case (limits, timing, odd input) - 6 cases
OB-M  Onboarding, multi-user - 4 cases
DL-P  Data / sync, positive concurrent editing - 6 cases
DL-N  Data / sync, the data-loss defect and its neighbours - 7 cases
DL-E  Data / sync, edge case - 5 cases
DL-M  Data / sync, three or more users, several devices - 4 cases</t>
        </is>
      </c>
    </row>
    <row r="16"/>
    <row r="17" ht="26" customHeight="1">
      <c r="A17" s="5" t="inlineStr">
        <is>
          <t xml:space="preserve">The data-loss issue, in plain words</t>
        </is>
      </c>
    </row>
    <row r="18"/>
    <row r="19" ht="26" customHeight="1">
      <c r="A19" s="6" t="inlineStr">
        <is>
          <t xml:space="preserve">What was reported</t>
        </is>
      </c>
    </row>
    <row r="20"/>
    <row r="21" ht="60" customHeight="1">
      <c r="A21" s="7" t="inlineStr">
        <is>
          <t xml:space="preserve">Two members had the same program open. One was still typing (or had just typed, but the change had not yet been sent to the server). The other member saved. A moment later, the first member’s screen reset to the stored values and their unsaved work was gone.</t>
        </is>
      </c>
    </row>
    <row r="22"/>
    <row r="23" ht="26" customHeight="1">
      <c r="A23" s="6" t="inlineStr">
        <is>
          <t xml:space="preserve">Why it happened</t>
        </is>
      </c>
    </row>
    <row r="24"/>
    <row r="25" ht="60" customHeight="1">
      <c r="A25" s="7" t="inlineStr">
        <is>
          <t xml:space="preserve">The app checks the server every 5 seconds. When it saw a newer copy, it REPLACED the whole local workspace with the server’s copy - taking with it anything typed in the last moment, anything still waiting in the short save delay, and anything typed on screen but not yet written into the document.</t>
        </is>
      </c>
    </row>
    <row r="26"/>
    <row r="27" ht="26" customHeight="1">
      <c r="A27" s="6" t="inlineStr">
        <is>
          <t xml:space="preserve">What should happen now</t>
        </is>
      </c>
    </row>
    <row r="28"/>
    <row r="29" ht="195" customHeight="1">
      <c r="A29" s="7" t="inlineStr">
        <is>
          <t xml:space="preserve">Incoming server changes are MERGED with local ones instead of replacing them, section by section and row by row:
- Only the other person changed something -&gt; their value is taken.
- Only you changed something -&gt; your value is kept, and is then sent to the server.
- You both changed the SAME thing -&gt; your value stays on screen and a message tells you another member also edited it. Nothing is silently thrown away.
- Two people editing DIFFERENT sections both save successfully - no clash at all.
- A record someone is actively editing can be locked, so the second person sees "Locked - Ann is editing" rather than losing a race.</t>
        </is>
      </c>
    </row>
    <row r="30"/>
    <row r="31" ht="26" customHeight="1">
      <c r="A31" s="6" t="inlineStr">
        <is>
          <t xml:space="preserve">Which cases prove the fix</t>
        </is>
      </c>
    </row>
    <row r="32"/>
    <row r="33" ht="30" customHeight="1">
      <c r="A33" s="7" t="inlineStr">
        <is>
          <t xml:space="preserve">The seven DL-N cases on the Test Cases sheet (highlighted). Treat any failure there as a BLOCKER.</t>
        </is>
      </c>
    </row>
    <row r="34"/>
  </sheetData>
  <mergeCells count="34">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QA Test Cases - Onboarding and Data Loss</dc:title>
  <dc:subject>90-Day Programs (/apps)</dc:subject>
  <cp:keywords>QA; test cases; onboarding; multi-user; data loss</cp:keywords>
</cp:coreProperties>
</file>